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Almac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26" customWidth="1" min="4" max="4"/>
    <col width="14" customWidth="1" min="5" max="5"/>
    <col width="26" customWidth="1" min="6" max="6"/>
    <col width="18" customWidth="1" min="7" max="7"/>
    <col width="28" customWidth="1" min="8" max="8"/>
  </cols>
  <sheetData>
    <row r="1" ht="35" customHeight="1">
      <c r="A1" s="1" t="inlineStr">
        <is>
          <t>ALMACÉN DON PEPE - CATÁLOGO DE PRODUCTOS INICIAL (SIN IMPUESTOS)</t>
        </is>
      </c>
    </row>
    <row r="2"/>
    <row r="3" ht="25" customHeight="1">
      <c r="A3" s="2" t="inlineStr">
        <is>
          <t>ID</t>
        </is>
      </c>
      <c r="B3" s="2" t="inlineStr">
        <is>
          <t>Nombre del Producto</t>
        </is>
      </c>
      <c r="C3" s="2" t="inlineStr">
        <is>
          <t>Categoría</t>
        </is>
      </c>
      <c r="D3" s="2" t="inlineStr">
        <is>
          <t>Precio Neto (Sin IVA)</t>
        </is>
      </c>
      <c r="E3" s="2" t="inlineStr">
        <is>
          <t>IVA (21%)</t>
        </is>
      </c>
      <c r="F3" s="2" t="inlineStr">
        <is>
          <t>Precio Venta Estimado</t>
        </is>
      </c>
      <c r="G3" s="2" t="inlineStr">
        <is>
          <t>Stock Inicial</t>
        </is>
      </c>
      <c r="H3" s="2" t="inlineStr">
        <is>
          <t>Proveedor</t>
        </is>
      </c>
    </row>
    <row r="4" ht="20" customHeight="1">
      <c r="A4" s="3" t="n">
        <v>1</v>
      </c>
      <c r="B4" s="4" t="inlineStr">
        <is>
          <t>Pan amasado (kg)</t>
        </is>
      </c>
      <c r="C4" s="4" t="inlineStr">
        <is>
          <t>Panadería</t>
        </is>
      </c>
      <c r="D4" s="5" t="n">
        <v>2057.85</v>
      </c>
      <c r="E4" s="5">
        <f>D4*0.21</f>
        <v/>
      </c>
      <c r="F4" s="5">
        <f>D4+E4</f>
        <v/>
      </c>
      <c r="G4" s="6" t="n">
        <v>50</v>
      </c>
      <c r="H4" s="4" t="inlineStr">
        <is>
          <t>Panadería Don Juan</t>
        </is>
      </c>
    </row>
    <row r="5" ht="20" customHeight="1">
      <c r="A5" s="7" t="n">
        <v>2</v>
      </c>
      <c r="B5" s="8" t="inlineStr">
        <is>
          <t>Leche entera 1L</t>
        </is>
      </c>
      <c r="C5" s="8" t="inlineStr">
        <is>
          <t>Lácteos</t>
        </is>
      </c>
      <c r="D5" s="9" t="n">
        <v>983.47</v>
      </c>
      <c r="E5" s="9">
        <f>D5*0.21</f>
        <v/>
      </c>
      <c r="F5" s="9">
        <f>D5+E5</f>
        <v/>
      </c>
      <c r="G5" s="10" t="n">
        <v>40</v>
      </c>
      <c r="H5" s="8" t="inlineStr">
        <is>
          <t>La Serenísima</t>
        </is>
      </c>
    </row>
    <row r="6" ht="20" customHeight="1">
      <c r="A6" s="3" t="n">
        <v>3</v>
      </c>
      <c r="B6" s="4" t="inlineStr">
        <is>
          <t>Huevos x12</t>
        </is>
      </c>
      <c r="C6" s="4" t="inlineStr">
        <is>
          <t>Almacén</t>
        </is>
      </c>
      <c r="D6" s="5" t="n">
        <v>3297.52</v>
      </c>
      <c r="E6" s="5">
        <f>D6*0.21</f>
        <v/>
      </c>
      <c r="F6" s="5">
        <f>D6+E6</f>
        <v/>
      </c>
      <c r="G6" s="6" t="n">
        <v>30</v>
      </c>
      <c r="H6" s="4" t="inlineStr">
        <is>
          <t>Granja Avícola Sur</t>
        </is>
      </c>
    </row>
    <row r="7" ht="20" customHeight="1">
      <c r="A7" s="7" t="n">
        <v>4</v>
      </c>
      <c r="B7" s="8" t="inlineStr">
        <is>
          <t>Arroz 1kg</t>
        </is>
      </c>
      <c r="C7" s="8" t="inlineStr">
        <is>
          <t>Almacenes</t>
        </is>
      </c>
      <c r="D7" s="9" t="n">
        <v>1314.05</v>
      </c>
      <c r="E7" s="9">
        <f>D7*0.21</f>
        <v/>
      </c>
      <c r="F7" s="9">
        <f>D7+E7</f>
        <v/>
      </c>
      <c r="G7" s="10" t="n">
        <v>40</v>
      </c>
      <c r="H7" s="8" t="inlineStr">
        <is>
          <t>Molinos Río de la Plata</t>
        </is>
      </c>
    </row>
    <row r="8" ht="20" customHeight="1">
      <c r="A8" s="3" t="n">
        <v>5</v>
      </c>
      <c r="B8" s="4" t="inlineStr">
        <is>
          <t>Aceite 1L</t>
        </is>
      </c>
      <c r="C8" s="4" t="inlineStr">
        <is>
          <t>Almacenes</t>
        </is>
      </c>
      <c r="D8" s="5" t="n">
        <v>2223.14</v>
      </c>
      <c r="E8" s="5">
        <f>D8*0.21</f>
        <v/>
      </c>
      <c r="F8" s="5">
        <f>D8+E8</f>
        <v/>
      </c>
      <c r="G8" s="6" t="n">
        <v>25</v>
      </c>
      <c r="H8" s="4" t="inlineStr">
        <is>
          <t>Girasol S.A.</t>
        </is>
      </c>
    </row>
    <row r="9" ht="20" customHeight="1">
      <c r="A9" s="7" t="n">
        <v>6</v>
      </c>
      <c r="B9" s="8" t="inlineStr">
        <is>
          <t>Azúcar 1kg</t>
        </is>
      </c>
      <c r="C9" s="8" t="inlineStr">
        <is>
          <t>Almacenes</t>
        </is>
      </c>
      <c r="D9" s="9" t="n">
        <v>1561.98</v>
      </c>
      <c r="E9" s="9">
        <f>D9*0.21</f>
        <v/>
      </c>
      <c r="F9" s="9">
        <f>D9+E9</f>
        <v/>
      </c>
      <c r="G9" s="10" t="n">
        <v>35</v>
      </c>
      <c r="H9" s="8" t="inlineStr">
        <is>
          <t>Ledesma</t>
        </is>
      </c>
    </row>
    <row r="10" ht="20" customHeight="1">
      <c r="A10" s="3" t="n">
        <v>7</v>
      </c>
      <c r="B10" s="4" t="inlineStr">
        <is>
          <t>Café 170g</t>
        </is>
      </c>
      <c r="C10" s="4" t="inlineStr">
        <is>
          <t>Infusiones</t>
        </is>
      </c>
      <c r="D10" s="5" t="n">
        <v>4123.97</v>
      </c>
      <c r="E10" s="5">
        <f>D10*0.21</f>
        <v/>
      </c>
      <c r="F10" s="5">
        <f>D10+E10</f>
        <v/>
      </c>
      <c r="G10" s="6" t="n">
        <v>20</v>
      </c>
      <c r="H10" s="4" t="inlineStr">
        <is>
          <t>Caballito</t>
        </is>
      </c>
    </row>
    <row r="11" ht="20" customHeight="1">
      <c r="A11" s="7" t="n">
        <v>8</v>
      </c>
      <c r="B11" s="8" t="inlineStr">
        <is>
          <t>Té x100</t>
        </is>
      </c>
      <c r="C11" s="8" t="inlineStr">
        <is>
          <t>Infusiones</t>
        </is>
      </c>
      <c r="D11" s="9" t="n">
        <v>1809.92</v>
      </c>
      <c r="E11" s="9">
        <f>D11*0.21</f>
        <v/>
      </c>
      <c r="F11" s="9">
        <f>D11+E11</f>
        <v/>
      </c>
      <c r="G11" s="10" t="n">
        <v>30</v>
      </c>
      <c r="H11" s="8" t="inlineStr">
        <is>
          <t>La Virginia</t>
        </is>
      </c>
    </row>
    <row r="12" ht="20" customHeight="1">
      <c r="A12" s="3" t="n">
        <v>9</v>
      </c>
      <c r="B12" s="4" t="inlineStr">
        <is>
          <t>Fideos 400g</t>
        </is>
      </c>
      <c r="C12" s="4" t="inlineStr">
        <is>
          <t>Almacenes</t>
        </is>
      </c>
      <c r="D12" s="5" t="n">
        <v>818.1799999999999</v>
      </c>
      <c r="E12" s="5">
        <f>D12*0.21</f>
        <v/>
      </c>
      <c r="F12" s="5">
        <f>D12+E12</f>
        <v/>
      </c>
      <c r="G12" s="6" t="n">
        <v>50</v>
      </c>
      <c r="H12" s="4" t="inlineStr">
        <is>
          <t>Matarazzo</t>
        </is>
      </c>
    </row>
    <row r="13" ht="20" customHeight="1">
      <c r="A13" s="7" t="n">
        <v>10</v>
      </c>
      <c r="B13" s="8" t="inlineStr">
        <is>
          <t>Atún lata</t>
        </is>
      </c>
      <c r="C13" s="8" t="inlineStr">
        <is>
          <t>Conservas</t>
        </is>
      </c>
      <c r="D13" s="9" t="n">
        <v>1561.98</v>
      </c>
      <c r="E13" s="9">
        <f>D13*0.21</f>
        <v/>
      </c>
      <c r="F13" s="9">
        <f>D13+E13</f>
        <v/>
      </c>
      <c r="G13" s="10" t="n">
        <v>40</v>
      </c>
      <c r="H13" s="8" t="inlineStr">
        <is>
          <t>La Campagnola</t>
        </is>
      </c>
    </row>
    <row r="14" ht="20" customHeight="1">
      <c r="A14" s="3" t="n">
        <v>11</v>
      </c>
      <c r="B14" s="4" t="inlineStr">
        <is>
          <t>Bebida 3L</t>
        </is>
      </c>
      <c r="C14" s="4" t="inlineStr">
        <is>
          <t>Bebidas</t>
        </is>
      </c>
      <c r="D14" s="5" t="n">
        <v>2140.5</v>
      </c>
      <c r="E14" s="5">
        <f>D14*0.21</f>
        <v/>
      </c>
      <c r="F14" s="5">
        <f>D14+E14</f>
        <v/>
      </c>
      <c r="G14" s="6" t="n">
        <v>20</v>
      </c>
      <c r="H14" s="4" t="inlineStr">
        <is>
          <t>Coca-Cola Femsa</t>
        </is>
      </c>
    </row>
    <row r="15" ht="20" customHeight="1">
      <c r="A15" s="7" t="n">
        <v>12</v>
      </c>
      <c r="B15" s="8" t="inlineStr">
        <is>
          <t>Detergente 3L</t>
        </is>
      </c>
      <c r="C15" s="8" t="inlineStr">
        <is>
          <t>Limpieza</t>
        </is>
      </c>
      <c r="D15" s="9" t="n">
        <v>5776.86</v>
      </c>
      <c r="E15" s="9">
        <f>D15*0.21</f>
        <v/>
      </c>
      <c r="F15" s="9">
        <f>D15+E15</f>
        <v/>
      </c>
      <c r="G15" s="10" t="n">
        <v>15</v>
      </c>
      <c r="H15" s="8" t="inlineStr">
        <is>
          <t>Masterlimp</t>
        </is>
      </c>
    </row>
    <row r="16" ht="20" customHeight="1">
      <c r="A16" s="3" t="n">
        <v>13</v>
      </c>
      <c r="B16" s="4" t="inlineStr">
        <is>
          <t>Yerba Mate 1kg</t>
        </is>
      </c>
      <c r="C16" s="4" t="inlineStr">
        <is>
          <t>Infusiones</t>
        </is>
      </c>
      <c r="D16" s="5" t="n">
        <v>3450</v>
      </c>
      <c r="E16" s="5">
        <f>D16*0.21</f>
        <v/>
      </c>
      <c r="F16" s="5">
        <f>D16+E16</f>
        <v/>
      </c>
      <c r="G16" s="6" t="n">
        <v>30</v>
      </c>
      <c r="H16" s="4" t="inlineStr">
        <is>
          <t>Playadito</t>
        </is>
      </c>
    </row>
    <row r="17" ht="20" customHeight="1">
      <c r="A17" s="7" t="n">
        <v>14</v>
      </c>
      <c r="B17" s="8" t="inlineStr">
        <is>
          <t>Galletitas Dulces</t>
        </is>
      </c>
      <c r="C17" s="8" t="inlineStr">
        <is>
          <t>Galletitas</t>
        </is>
      </c>
      <c r="D17" s="9" t="n">
        <v>1200</v>
      </c>
      <c r="E17" s="9">
        <f>D17*0.21</f>
        <v/>
      </c>
      <c r="F17" s="9">
        <f>D17+E17</f>
        <v/>
      </c>
      <c r="G17" s="10" t="n">
        <v>40</v>
      </c>
      <c r="H17" s="8" t="inlineStr">
        <is>
          <t>Arcor</t>
        </is>
      </c>
    </row>
    <row r="18" ht="20" customHeight="1">
      <c r="A18" s="3" t="n">
        <v>15</v>
      </c>
      <c r="B18" s="4" t="inlineStr">
        <is>
          <t>Harina de Trigo 1kg</t>
        </is>
      </c>
      <c r="C18" s="4" t="inlineStr">
        <is>
          <t>Almacenes</t>
        </is>
      </c>
      <c r="D18" s="5" t="n">
        <v>950</v>
      </c>
      <c r="E18" s="5">
        <f>D18*0.21</f>
        <v/>
      </c>
      <c r="F18" s="5">
        <f>D18+E18</f>
        <v/>
      </c>
      <c r="G18" s="6" t="n">
        <v>45</v>
      </c>
      <c r="H18" s="4" t="inlineStr">
        <is>
          <t>Blanca Flor</t>
        </is>
      </c>
    </row>
    <row r="19" ht="20" customHeight="1">
      <c r="A19" s="7" t="n">
        <v>16</v>
      </c>
      <c r="B19" s="8" t="inlineStr">
        <is>
          <t>Puré de Tomate 520g</t>
        </is>
      </c>
      <c r="C19" s="8" t="inlineStr">
        <is>
          <t>Conservas</t>
        </is>
      </c>
      <c r="D19" s="9" t="n">
        <v>780</v>
      </c>
      <c r="E19" s="9">
        <f>D19*0.21</f>
        <v/>
      </c>
      <c r="F19" s="9">
        <f>D19+E19</f>
        <v/>
      </c>
      <c r="G19" s="10" t="n">
        <v>35</v>
      </c>
      <c r="H19" s="8" t="inlineStr">
        <is>
          <t>Marolio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2026-10-12T04:04:53Z</dcterms:created>
  <dcterms:modified xmlns:dcterms="http://purl.org/dc/terms/" xmlns:xsi="http://www.w3.org/2001/XMLSchema-instance" xsi:type="dcterms:W3CDTF">2026-10-12T04:04:54Z</dcterms:modified>
</cp:coreProperties>
</file>